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emographics &amp; Compensation" sheetId="2" state="visible" r:id="rId2"/>
    <sheet xmlns:r="http://schemas.openxmlformats.org/officeDocument/2006/relationships" name="Performance &amp; Eng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₹#,##0"/>
    <numFmt numFmtId="166" formatCode="0.0"/>
    <numFmt numFmtId="167" formatCode="#,##0.0"/>
    <numFmt numFmtId="168" formatCode="+0.0%;-0.0%;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33333"/>
      <sz val="10"/>
    </font>
    <font>
      <name val="Calibri"/>
      <b val="1"/>
      <color rgb="001F497D"/>
      <sz val="10"/>
    </font>
    <font>
      <name val="Calibri"/>
      <b val="1"/>
      <color rgb="001F497D"/>
      <sz val="11"/>
    </font>
    <font>
      <name val="Calibri"/>
      <b val="1"/>
      <color rgb="00595959"/>
      <sz val="9"/>
    </font>
    <font>
      <name val="Calibri"/>
      <b val="1"/>
      <color rgb="001F497D"/>
      <sz val="18"/>
    </font>
    <font>
      <name val="Calibri"/>
      <i val="1"/>
      <color rgb="00595959"/>
      <sz val="8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97D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0" borderId="2" pivotButton="0" quotePrefix="0" xfId="0"/>
    <xf numFmtId="3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5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0" fontId="10" fillId="0" borderId="1" pivotButton="0" quotePrefix="0" xfId="0"/>
    <xf numFmtId="0" fontId="0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166" fontId="10" fillId="0" borderId="1" applyAlignment="1" pivotButton="0" quotePrefix="0" xfId="0">
      <alignment horizontal="right"/>
    </xf>
    <xf numFmtId="0" fontId="9" fillId="0" borderId="1" pivotButton="0" quotePrefix="0" xfId="0"/>
    <xf numFmtId="0" fontId="0" fillId="0" borderId="1" pivotButton="0" quotePrefix="0" xfId="0"/>
    <xf numFmtId="0" fontId="11" fillId="2" borderId="0" applyAlignment="1" pivotButton="0" quotePrefix="0" xfId="0">
      <alignment horizontal="center" vertical="center"/>
    </xf>
    <xf numFmtId="167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12" fillId="0" borderId="1" pivotButton="0" quotePrefix="0" xfId="0"/>
    <xf numFmtId="168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Dashboard'!$B$12:$B$20</f>
            </numRef>
          </cat>
          <val>
            <numRef>
              <f>'Executive Dashboard'!$G$12:$G$20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Proportional Share of Departure Drivers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Dashboard'!I25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Dashboard'!$H$26:$H$31</f>
            </numRef>
          </cat>
          <val>
            <numRef>
              <f>'Executive Dashboard'!$I$26:$I$31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27" customWidth="1" min="4" max="4"/>
    <col width="16" customWidth="1" min="5" max="5"/>
    <col width="26" customWidth="1" min="6" max="6"/>
    <col width="17" customWidth="1" min="7" max="7"/>
    <col width="34" customWidth="1" min="8" max="8"/>
    <col width="21" customWidth="1" min="9" max="9"/>
    <col width="27" customWidth="1" min="10" max="10"/>
    <col width="20" customWidth="1" min="11" max="11"/>
  </cols>
  <sheetData>
    <row r="1"/>
    <row r="2">
      <c r="B2" s="1" t="inlineStr">
        <is>
          <t>ENTERPRISE HR ANALYTICS &amp; WORKFORCE INTERACTIVE DASHBOARD</t>
        </is>
      </c>
    </row>
    <row r="3"/>
    <row r="4">
      <c r="B4" s="2" t="inlineStr">
        <is>
          <t>Snapshot Date: 30-Sep-2026 | Dataset Scope: 1,500 Employees | Enterprise HR Intelligence Model</t>
        </is>
      </c>
      <c r="I4" s="3" t="inlineStr">
        <is>
          <t>Filter Department:</t>
        </is>
      </c>
      <c r="J4" s="4" t="inlineStr">
        <is>
          <t>ALL</t>
        </is>
      </c>
    </row>
    <row r="5"/>
    <row r="6">
      <c r="B6" s="5" t="inlineStr">
        <is>
          <t>TOTAL HEADCOUNT</t>
        </is>
      </c>
      <c r="C6" s="6" t="n"/>
      <c r="D6" s="5" t="inlineStr">
        <is>
          <t>ATTRITION RATE</t>
        </is>
      </c>
      <c r="E6" s="6" t="n"/>
      <c r="F6" s="5" t="inlineStr">
        <is>
          <t>REGRETTABLE LOSS</t>
        </is>
      </c>
      <c r="G6" s="6" t="n"/>
      <c r="H6" s="5" t="inlineStr">
        <is>
          <t>EARLY ATTRITION (&lt;12M)</t>
        </is>
      </c>
      <c r="I6" s="6" t="n"/>
      <c r="J6" s="5" t="inlineStr">
        <is>
          <t>AVERAGE CTC</t>
        </is>
      </c>
      <c r="K6" s="6" t="n"/>
    </row>
    <row r="7">
      <c r="B7" s="7" t="n">
        <v>1500</v>
      </c>
      <c r="C7" s="6" t="n"/>
      <c r="D7" s="8" t="n">
        <v>0.1753</v>
      </c>
      <c r="E7" s="6" t="n"/>
      <c r="F7" s="8" t="n">
        <v>0.3346</v>
      </c>
      <c r="G7" s="6" t="n"/>
      <c r="H7" s="8" t="n">
        <v>0.4525</v>
      </c>
      <c r="I7" s="6" t="n"/>
      <c r="J7" s="9" t="n">
        <v>1943500</v>
      </c>
      <c r="K7" s="6" t="n"/>
    </row>
    <row r="8">
      <c r="B8" s="10" t="inlineStr">
        <is>
          <t>1,237 Active / 263 Exited</t>
        </is>
      </c>
      <c r="C8" s="6" t="n"/>
      <c r="D8" s="10" t="inlineStr">
        <is>
          <t>Industry Target: &lt; 15.0%</t>
        </is>
      </c>
      <c r="E8" s="6" t="n"/>
      <c r="F8" s="10" t="inlineStr">
        <is>
          <t>88 Critical Skill Exits</t>
        </is>
      </c>
      <c r="G8" s="6" t="n"/>
      <c r="H8" s="10" t="inlineStr">
        <is>
          <t>119 First-Year Exits</t>
        </is>
      </c>
      <c r="I8" s="6" t="n"/>
      <c r="J8" s="10" t="inlineStr">
        <is>
          <t>Total Payroll: ₹291.5 Cr</t>
        </is>
      </c>
      <c r="K8" s="6" t="n"/>
    </row>
    <row r="9"/>
    <row r="10">
      <c r="B10" s="11" t="inlineStr">
        <is>
          <t>DEPARTMENTAL PERFORMANCE &amp; WORKFORCE BENCHMARKS</t>
        </is>
      </c>
    </row>
    <row r="11">
      <c r="B11" s="12" t="inlineStr">
        <is>
          <t>Department</t>
        </is>
      </c>
      <c r="C11" s="12" t="inlineStr">
        <is>
          <t>HQ Location</t>
        </is>
      </c>
      <c r="D11" s="12" t="inlineStr">
        <is>
          <t>Target HC</t>
        </is>
      </c>
      <c r="E11" s="12" t="inlineStr">
        <is>
          <t>Active HC</t>
        </is>
      </c>
      <c r="F11" s="12" t="inlineStr">
        <is>
          <t>Exits</t>
        </is>
      </c>
      <c r="G11" s="12" t="inlineStr">
        <is>
          <t>Attrition Rate</t>
        </is>
      </c>
      <c r="H11" s="12" t="inlineStr">
        <is>
          <t>Avg CTC (INR)</t>
        </is>
      </c>
      <c r="I11" s="12" t="inlineStr">
        <is>
          <t>Regrettable Exits</t>
        </is>
      </c>
      <c r="J11" s="12" t="inlineStr">
        <is>
          <t>Early Exits (&lt;12m)</t>
        </is>
      </c>
      <c r="K11" s="12" t="inlineStr">
        <is>
          <t>Avg Tenure (Mo)</t>
        </is>
      </c>
    </row>
    <row r="12">
      <c r="B12" s="13" t="inlineStr">
        <is>
          <t>Engineering</t>
        </is>
      </c>
      <c r="C12" s="13" t="inlineStr">
        <is>
          <t>Chennai</t>
        </is>
      </c>
      <c r="D12" s="14" t="n">
        <v>472</v>
      </c>
      <c r="E12" s="14" t="n">
        <v>387</v>
      </c>
      <c r="F12" s="14" t="n">
        <v>68</v>
      </c>
      <c r="G12" s="15" t="n">
        <v>0.1495</v>
      </c>
      <c r="H12" s="16" t="n">
        <v>1769277</v>
      </c>
      <c r="I12" s="14" t="n">
        <v>22</v>
      </c>
      <c r="J12" s="14" t="n">
        <v>29</v>
      </c>
      <c r="K12" s="14" t="n">
        <v>27.8</v>
      </c>
    </row>
    <row r="13">
      <c r="B13" s="13" t="inlineStr">
        <is>
          <t>Data &amp; AI</t>
        </is>
      </c>
      <c r="C13" s="13" t="inlineStr">
        <is>
          <t>Bengaluru</t>
        </is>
      </c>
      <c r="D13" s="14" t="n">
        <v>157</v>
      </c>
      <c r="E13" s="14" t="n">
        <v>117</v>
      </c>
      <c r="F13" s="14" t="n">
        <v>22</v>
      </c>
      <c r="G13" s="15" t="n">
        <v>0.1583</v>
      </c>
      <c r="H13" s="16" t="n">
        <v>1765266</v>
      </c>
      <c r="I13" s="14" t="n">
        <v>7</v>
      </c>
      <c r="J13" s="14" t="n">
        <v>10</v>
      </c>
      <c r="K13" s="14" t="n">
        <v>25.4</v>
      </c>
    </row>
    <row r="14">
      <c r="B14" s="13" t="inlineStr">
        <is>
          <t>Sales</t>
        </is>
      </c>
      <c r="C14" s="13" t="inlineStr">
        <is>
          <t>Mumbai</t>
        </is>
      </c>
      <c r="D14" s="14" t="n">
        <v>220</v>
      </c>
      <c r="E14" s="14" t="n">
        <v>155</v>
      </c>
      <c r="F14" s="14" t="n">
        <v>52</v>
      </c>
      <c r="G14" s="15" t="n">
        <v>0.2512</v>
      </c>
      <c r="H14" s="16" t="n">
        <v>2949000</v>
      </c>
      <c r="I14" s="14" t="n">
        <v>20</v>
      </c>
      <c r="J14" s="14" t="n">
        <v>24</v>
      </c>
      <c r="K14" s="14" t="n">
        <v>28.1</v>
      </c>
    </row>
    <row r="15">
      <c r="B15" s="13" t="inlineStr">
        <is>
          <t>Customer Support</t>
        </is>
      </c>
      <c r="C15" s="13" t="inlineStr">
        <is>
          <t>Coimbatore</t>
        </is>
      </c>
      <c r="D15" s="14" t="n">
        <v>220</v>
      </c>
      <c r="E15" s="14" t="n">
        <v>170</v>
      </c>
      <c r="F15" s="14" t="n">
        <v>37</v>
      </c>
      <c r="G15" s="15" t="n">
        <v>0.1787</v>
      </c>
      <c r="H15" s="16" t="n">
        <v>2049082</v>
      </c>
      <c r="I15" s="14" t="n">
        <v>11</v>
      </c>
      <c r="J15" s="14" t="n">
        <v>18</v>
      </c>
      <c r="K15" s="14" t="n">
        <v>24.2</v>
      </c>
    </row>
    <row r="16">
      <c r="B16" s="13" t="inlineStr">
        <is>
          <t>Operations</t>
        </is>
      </c>
      <c r="C16" s="13" t="inlineStr">
        <is>
          <t>Coimbatore</t>
        </is>
      </c>
      <c r="D16" s="14" t="n">
        <v>157</v>
      </c>
      <c r="E16" s="14" t="n">
        <v>118</v>
      </c>
      <c r="F16" s="14" t="n">
        <v>27</v>
      </c>
      <c r="G16" s="15" t="n">
        <v>0.1862</v>
      </c>
      <c r="H16" s="16" t="n">
        <v>1636386</v>
      </c>
      <c r="I16" s="14" t="n">
        <v>9</v>
      </c>
      <c r="J16" s="14" t="n">
        <v>13</v>
      </c>
      <c r="K16" s="14" t="n">
        <v>23.9</v>
      </c>
    </row>
    <row r="17">
      <c r="B17" s="13" t="inlineStr">
        <is>
          <t>Finance</t>
        </is>
      </c>
      <c r="C17" s="13" t="inlineStr">
        <is>
          <t>Chennai</t>
        </is>
      </c>
      <c r="D17" s="14" t="n">
        <v>94</v>
      </c>
      <c r="E17" s="14" t="n">
        <v>82</v>
      </c>
      <c r="F17" s="14" t="n">
        <v>15</v>
      </c>
      <c r="G17" s="15" t="n">
        <v>0.1546</v>
      </c>
      <c r="H17" s="16" t="n">
        <v>1822402</v>
      </c>
      <c r="I17" s="14" t="n">
        <v>5</v>
      </c>
      <c r="J17" s="14" t="n">
        <v>7</v>
      </c>
      <c r="K17" s="14" t="n">
        <v>29</v>
      </c>
    </row>
    <row r="18">
      <c r="B18" s="13" t="inlineStr">
        <is>
          <t>Human Resources</t>
        </is>
      </c>
      <c r="C18" s="13" t="inlineStr">
        <is>
          <t>Coimbatore</t>
        </is>
      </c>
      <c r="D18" s="14" t="n">
        <v>78</v>
      </c>
      <c r="E18" s="14" t="n">
        <v>68</v>
      </c>
      <c r="F18" s="14" t="n">
        <v>14</v>
      </c>
      <c r="G18" s="15" t="n">
        <v>0.1707</v>
      </c>
      <c r="H18" s="16" t="n">
        <v>1516110</v>
      </c>
      <c r="I18" s="14" t="n">
        <v>4</v>
      </c>
      <c r="J18" s="14" t="n">
        <v>6</v>
      </c>
      <c r="K18" s="14" t="n">
        <v>22.5</v>
      </c>
    </row>
    <row r="19">
      <c r="B19" s="13" t="inlineStr">
        <is>
          <t>Marketing</t>
        </is>
      </c>
      <c r="C19" s="13" t="inlineStr">
        <is>
          <t>Bengaluru</t>
        </is>
      </c>
      <c r="D19" s="14" t="n">
        <v>94</v>
      </c>
      <c r="E19" s="14" t="n">
        <v>82</v>
      </c>
      <c r="F19" s="14" t="n">
        <v>18</v>
      </c>
      <c r="G19" s="15" t="n">
        <v>0.18</v>
      </c>
      <c r="H19" s="16" t="n">
        <v>1497460</v>
      </c>
      <c r="I19" s="14" t="n">
        <v>6</v>
      </c>
      <c r="J19" s="14" t="n">
        <v>8</v>
      </c>
      <c r="K19" s="14" t="n">
        <v>24.8</v>
      </c>
    </row>
    <row r="20">
      <c r="B20" s="13" t="inlineStr">
        <is>
          <t>Legal &amp; Compliance</t>
        </is>
      </c>
      <c r="C20" s="13" t="inlineStr">
        <is>
          <t>Mumbai</t>
        </is>
      </c>
      <c r="D20" s="14" t="n">
        <v>78</v>
      </c>
      <c r="E20" s="14" t="n">
        <v>58</v>
      </c>
      <c r="F20" s="14" t="n">
        <v>10</v>
      </c>
      <c r="G20" s="15" t="n">
        <v>0.1471</v>
      </c>
      <c r="H20" s="16" t="n">
        <v>1970882</v>
      </c>
      <c r="I20" s="14" t="n">
        <v>4</v>
      </c>
      <c r="J20" s="14" t="n">
        <v>4</v>
      </c>
      <c r="K20" s="14" t="n">
        <v>31.2</v>
      </c>
    </row>
    <row r="21">
      <c r="B21" s="17" t="inlineStr">
        <is>
          <t>Total / Enterprise Average</t>
        </is>
      </c>
      <c r="C21" s="18" t="inlineStr">
        <is>
          <t>-</t>
        </is>
      </c>
      <c r="D21" s="19">
        <f>SUM(D12:D20)</f>
        <v/>
      </c>
      <c r="E21" s="19">
        <f>SUM(E12:E20)</f>
        <v/>
      </c>
      <c r="F21" s="19">
        <f>SUM(F12:F20)</f>
        <v/>
      </c>
      <c r="G21" s="20">
        <f>F21/(E21+F21)</f>
        <v/>
      </c>
      <c r="H21" s="21">
        <f>AVERAGE(H12:H20)</f>
        <v/>
      </c>
      <c r="I21" s="19">
        <f>SUM(I12:I20)</f>
        <v/>
      </c>
      <c r="J21" s="19">
        <f>SUM(J12:J20)</f>
        <v/>
      </c>
      <c r="K21" s="22">
        <f>AVERAGE(K12:K20)</f>
        <v/>
      </c>
    </row>
    <row r="22"/>
    <row r="23"/>
    <row r="24">
      <c r="H24" s="11" t="inlineStr">
        <is>
          <t>PRIMARY EXIT REASONS &amp; DRIVERS</t>
        </is>
      </c>
    </row>
    <row r="25">
      <c r="H25" s="12" t="inlineStr">
        <is>
          <t>Primary Reason</t>
        </is>
      </c>
      <c r="I25" s="12" t="inlineStr">
        <is>
          <t>Exit Count</t>
        </is>
      </c>
      <c r="J25" s="12" t="inlineStr">
        <is>
          <t>% Share</t>
        </is>
      </c>
      <c r="K25" s="12" t="n"/>
    </row>
    <row r="26">
      <c r="H26" s="23" t="inlineStr">
        <is>
          <t>Better Compensation &amp; Benefits</t>
        </is>
      </c>
      <c r="I26" s="14" t="n">
        <v>88</v>
      </c>
      <c r="J26" s="15" t="n">
        <v>0.3346</v>
      </c>
      <c r="K26" s="24" t="n"/>
    </row>
    <row r="27">
      <c r="H27" s="23" t="inlineStr">
        <is>
          <t>Career Growth &amp; Promotion Opportunities</t>
        </is>
      </c>
      <c r="I27" s="14" t="n">
        <v>62</v>
      </c>
      <c r="J27" s="15" t="n">
        <v>0.2357</v>
      </c>
      <c r="K27" s="24" t="n"/>
    </row>
    <row r="28">
      <c r="H28" s="23" t="inlineStr">
        <is>
          <t>Work-Life Balance &amp; Burnout</t>
        </is>
      </c>
      <c r="I28" s="14" t="n">
        <v>41</v>
      </c>
      <c r="J28" s="15" t="n">
        <v>0.1559</v>
      </c>
      <c r="K28" s="24" t="n"/>
    </row>
    <row r="29">
      <c r="H29" s="23" t="inlineStr">
        <is>
          <t>Commute Distance &amp; Work Mode</t>
        </is>
      </c>
      <c r="I29" s="14" t="n">
        <v>24</v>
      </c>
      <c r="J29" s="15" t="n">
        <v>0.09130000000000001</v>
      </c>
      <c r="K29" s="24" t="n"/>
    </row>
    <row r="30">
      <c r="H30" s="23" t="inlineStr">
        <is>
          <t>Managerial Relationship / Leadership</t>
        </is>
      </c>
      <c r="I30" s="14" t="n">
        <v>20</v>
      </c>
      <c r="J30" s="15" t="n">
        <v>0.076</v>
      </c>
      <c r="K30" s="24" t="n"/>
    </row>
    <row r="31">
      <c r="H31" s="23" t="inlineStr">
        <is>
          <t>Misconduct / Policy / Involuntary</t>
        </is>
      </c>
      <c r="I31" s="14" t="n">
        <v>28</v>
      </c>
      <c r="J31" s="15" t="n">
        <v>0.1065</v>
      </c>
      <c r="K31" s="24" t="n"/>
    </row>
  </sheetData>
  <mergeCells count="27">
    <mergeCell ref="J29:K29"/>
    <mergeCell ref="B7:C7"/>
    <mergeCell ref="F6:G6"/>
    <mergeCell ref="H24:K24"/>
    <mergeCell ref="J28:K28"/>
    <mergeCell ref="B2:K3"/>
    <mergeCell ref="F7:G7"/>
    <mergeCell ref="D6:E6"/>
    <mergeCell ref="J30:K30"/>
    <mergeCell ref="H6:I6"/>
    <mergeCell ref="J6:K6"/>
    <mergeCell ref="J8:K8"/>
    <mergeCell ref="J27:K27"/>
    <mergeCell ref="B8:C8"/>
    <mergeCell ref="J26:K26"/>
    <mergeCell ref="F8:G8"/>
    <mergeCell ref="J4:K4"/>
    <mergeCell ref="D7:E7"/>
    <mergeCell ref="H7:I7"/>
    <mergeCell ref="J7:K7"/>
    <mergeCell ref="J25:K25"/>
    <mergeCell ref="B4:G4"/>
    <mergeCell ref="J31:K31"/>
    <mergeCell ref="D8:E8"/>
    <mergeCell ref="B6:C6"/>
    <mergeCell ref="H8:I8"/>
    <mergeCell ref="B10:K10"/>
  </mergeCells>
  <conditionalFormatting sqref="G12:G20">
    <cfRule type="colorScale" priority="1">
      <colorScale>
        <cfvo type="num" val="0.14"/>
        <cfvo type="num" val="0.18"/>
        <cfvo type="num" val="0.25"/>
        <color rgb="00E2EFDA"/>
        <color rgb="00FFF2CC"/>
        <color rgb="00FCE4D6"/>
      </colorScale>
    </cfRule>
  </conditionalFormatting>
  <dataValidations count="1">
    <dataValidation sqref="J4" showDropDown="0" showInputMessage="0" showErrorMessage="0" allowBlank="1" type="list">
      <formula1>"ALL, Engineering, Data &amp; AI, Sales, Customer Support, Operations, Finance, Human Resources, Marketing, Legal &amp; Compliance"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3" customWidth="1" min="3" max="3"/>
    <col width="14" customWidth="1" min="4" max="4"/>
    <col width="16" customWidth="1" min="5" max="5"/>
    <col width="19" customWidth="1" min="6" max="6"/>
    <col width="19" customWidth="1" min="7" max="7"/>
  </cols>
  <sheetData>
    <row r="1"/>
    <row r="2">
      <c r="B2" s="25" t="inlineStr">
        <is>
          <t>WORKFORCE DEMOGRAPHICS &amp; COMPENSATION STRUCTURE</t>
        </is>
      </c>
    </row>
    <row r="3"/>
    <row r="4"/>
    <row r="5">
      <c r="B5" s="11" t="inlineStr">
        <is>
          <t>JOB LEVEL COMPENSATION &amp; SPAN ANALYSIS</t>
        </is>
      </c>
    </row>
    <row r="6">
      <c r="B6" s="12" t="inlineStr">
        <is>
          <t>Job Level</t>
        </is>
      </c>
      <c r="C6" s="12" t="inlineStr">
        <is>
          <t>Level Description</t>
        </is>
      </c>
      <c r="D6" s="12" t="inlineStr">
        <is>
          <t>Active HC</t>
        </is>
      </c>
      <c r="E6" s="12" t="inlineStr">
        <is>
          <t>Avg Age (Yrs)</t>
        </is>
      </c>
      <c r="F6" s="12" t="inlineStr">
        <is>
          <t>Avg CTC (INR)</t>
        </is>
      </c>
      <c r="G6" s="12" t="inlineStr">
        <is>
          <t>Overtime %</t>
        </is>
      </c>
    </row>
    <row r="7">
      <c r="B7" s="13" t="inlineStr">
        <is>
          <t>L1</t>
        </is>
      </c>
      <c r="C7" s="13" t="inlineStr">
        <is>
          <t>Junior Executive / Analyst</t>
        </is>
      </c>
      <c r="D7" s="14" t="n">
        <v>412</v>
      </c>
      <c r="E7" s="26" t="n">
        <v>24.8</v>
      </c>
      <c r="F7" s="16" t="n">
        <v>485000</v>
      </c>
      <c r="G7" s="15" t="n">
        <v>0.421</v>
      </c>
    </row>
    <row r="8">
      <c r="B8" s="13" t="inlineStr">
        <is>
          <t>L2</t>
        </is>
      </c>
      <c r="C8" s="13" t="inlineStr">
        <is>
          <t>Senior Executive / Lead</t>
        </is>
      </c>
      <c r="D8" s="14" t="n">
        <v>385</v>
      </c>
      <c r="E8" s="26" t="n">
        <v>28.6</v>
      </c>
      <c r="F8" s="16" t="n">
        <v>920000</v>
      </c>
      <c r="G8" s="15" t="n">
        <v>0.284</v>
      </c>
    </row>
    <row r="9">
      <c r="B9" s="13" t="inlineStr">
        <is>
          <t>L3</t>
        </is>
      </c>
      <c r="C9" s="13" t="inlineStr">
        <is>
          <t>Manager / Specialist</t>
        </is>
      </c>
      <c r="D9" s="14" t="n">
        <v>240</v>
      </c>
      <c r="E9" s="26" t="n">
        <v>34.2</v>
      </c>
      <c r="F9" s="16" t="n">
        <v>1850000</v>
      </c>
      <c r="G9" s="15" t="n">
        <v>0.152</v>
      </c>
    </row>
    <row r="10">
      <c r="B10" s="13" t="inlineStr">
        <is>
          <t>L4</t>
        </is>
      </c>
      <c r="C10" s="13" t="inlineStr">
        <is>
          <t>Senior Manager / Associate Dir</t>
        </is>
      </c>
      <c r="D10" s="14" t="n">
        <v>125</v>
      </c>
      <c r="E10" s="26" t="n">
        <v>41.5</v>
      </c>
      <c r="F10" s="16" t="n">
        <v>3400000</v>
      </c>
      <c r="G10" s="15" t="n">
        <v>0.081</v>
      </c>
    </row>
    <row r="11">
      <c r="B11" s="13" t="inlineStr">
        <is>
          <t>L5</t>
        </is>
      </c>
      <c r="C11" s="13" t="inlineStr">
        <is>
          <t>Director / VP / Executive</t>
        </is>
      </c>
      <c r="D11" s="14" t="n">
        <v>75</v>
      </c>
      <c r="E11" s="26" t="n">
        <v>48.2</v>
      </c>
      <c r="F11" s="16" t="n">
        <v>6200000</v>
      </c>
      <c r="G11" s="15" t="n">
        <v>0.02</v>
      </c>
    </row>
    <row r="12"/>
    <row r="13"/>
    <row r="14">
      <c r="B14" s="11" t="inlineStr">
        <is>
          <t>GENDER PAY EQUITY &amp; DIVERSITY METRICS</t>
        </is>
      </c>
    </row>
    <row r="15">
      <c r="B15" s="12" t="inlineStr">
        <is>
          <t>Gender Category</t>
        </is>
      </c>
      <c r="C15" s="12" t="inlineStr">
        <is>
          <t>Headcount</t>
        </is>
      </c>
      <c r="D15" s="12" t="inlineStr">
        <is>
          <t>% Share</t>
        </is>
      </c>
      <c r="E15" s="12" t="inlineStr">
        <is>
          <t>Avg CTC (INR)</t>
        </is>
      </c>
      <c r="F15" s="12" t="inlineStr">
        <is>
          <t>Avg Rating (1-5)</t>
        </is>
      </c>
      <c r="G15" s="12" t="inlineStr">
        <is>
          <t>Promotion Rate %</t>
        </is>
      </c>
    </row>
    <row r="16">
      <c r="B16" s="13" t="inlineStr">
        <is>
          <t>Female</t>
        </is>
      </c>
      <c r="C16" s="14" t="n">
        <v>580</v>
      </c>
      <c r="D16" s="15" t="n">
        <v>0.3867</v>
      </c>
      <c r="E16" s="16" t="n">
        <v>1943039</v>
      </c>
      <c r="F16" s="27" t="n">
        <v>3.82</v>
      </c>
      <c r="G16" s="15" t="n">
        <v>0.142</v>
      </c>
    </row>
    <row r="17">
      <c r="B17" s="13" t="inlineStr">
        <is>
          <t>Male</t>
        </is>
      </c>
      <c r="C17" s="14" t="n">
        <v>915</v>
      </c>
      <c r="D17" s="15" t="n">
        <v>0.61</v>
      </c>
      <c r="E17" s="16" t="n">
        <v>1941084</v>
      </c>
      <c r="F17" s="27" t="n">
        <v>3.79</v>
      </c>
      <c r="G17" s="15" t="n">
        <v>0.138</v>
      </c>
    </row>
    <row r="18">
      <c r="B18" s="13" t="inlineStr">
        <is>
          <t>Other / Prefer Not Say</t>
        </is>
      </c>
      <c r="C18" s="14" t="n">
        <v>5</v>
      </c>
      <c r="D18" s="15" t="n">
        <v>0.0033</v>
      </c>
      <c r="E18" s="16" t="n">
        <v>780000</v>
      </c>
      <c r="F18" s="27" t="n">
        <v>3.6</v>
      </c>
      <c r="G18" s="15" t="n">
        <v>0.1</v>
      </c>
    </row>
  </sheetData>
  <mergeCells count="3">
    <mergeCell ref="B5:G5"/>
    <mergeCell ref="B14:G14"/>
    <mergeCell ref="B2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9" customWidth="1" min="3" max="3"/>
    <col width="17" customWidth="1" min="4" max="4"/>
    <col width="14" customWidth="1" min="5" max="5"/>
    <col width="23" customWidth="1" min="6" max="6"/>
    <col width="15" customWidth="1" min="7" max="7"/>
  </cols>
  <sheetData>
    <row r="1"/>
    <row r="2">
      <c r="B2" s="25" t="inlineStr">
        <is>
          <t>PERFORMANCE, eNPS ENGAGEMENT &amp; COMPLIANCE HEALTH</t>
        </is>
      </c>
    </row>
    <row r="3"/>
    <row r="4"/>
    <row r="5">
      <c r="B5" s="11" t="inlineStr">
        <is>
          <t>EMPLOYEE NET PROMOTER SCORE (eNPS) BREAKDOWN</t>
        </is>
      </c>
    </row>
    <row r="6">
      <c r="B6" s="12" t="inlineStr">
        <is>
          <t>Category</t>
        </is>
      </c>
      <c r="C6" s="12" t="inlineStr">
        <is>
          <t>Rating Score Range</t>
        </is>
      </c>
      <c r="D6" s="12" t="inlineStr">
        <is>
          <t>Employee Count</t>
        </is>
      </c>
      <c r="E6" s="12" t="inlineStr">
        <is>
          <t>% Share</t>
        </is>
      </c>
      <c r="F6" s="12" t="inlineStr">
        <is>
          <t>Attrition Risk Level</t>
        </is>
      </c>
    </row>
    <row r="7">
      <c r="B7" s="13" t="inlineStr">
        <is>
          <t>Promoters</t>
        </is>
      </c>
      <c r="C7" s="13" t="inlineStr">
        <is>
          <t>Score 9 - 10</t>
        </is>
      </c>
      <c r="D7" s="14" t="n">
        <v>812</v>
      </c>
      <c r="E7" s="15" t="n">
        <v>0.342</v>
      </c>
      <c r="F7" s="13" t="inlineStr">
        <is>
          <t>Low (6.2%)</t>
        </is>
      </c>
    </row>
    <row r="8">
      <c r="B8" s="13" t="inlineStr">
        <is>
          <t>Passives</t>
        </is>
      </c>
      <c r="C8" s="13" t="inlineStr">
        <is>
          <t>Score 7 - 8</t>
        </is>
      </c>
      <c r="D8" s="14" t="n">
        <v>1045</v>
      </c>
      <c r="E8" s="15" t="n">
        <v>0.4402</v>
      </c>
      <c r="F8" s="13" t="inlineStr">
        <is>
          <t>Moderate (14.5%)</t>
        </is>
      </c>
    </row>
    <row r="9">
      <c r="B9" s="13" t="inlineStr">
        <is>
          <t>Detractors</t>
        </is>
      </c>
      <c r="C9" s="13" t="inlineStr">
        <is>
          <t>Score 0 - 6</t>
        </is>
      </c>
      <c r="D9" s="14" t="n">
        <v>517</v>
      </c>
      <c r="E9" s="15" t="n">
        <v>0.2178</v>
      </c>
      <c r="F9" s="13" t="inlineStr">
        <is>
          <t>High (31.8%)</t>
        </is>
      </c>
    </row>
    <row r="10">
      <c r="B10" s="17" t="inlineStr">
        <is>
          <t>Enterprise eNPS Metric</t>
        </is>
      </c>
      <c r="C10" s="28" t="inlineStr">
        <is>
          <t>% Promoters - % Detractors</t>
        </is>
      </c>
      <c r="D10" s="29">
        <f>E7-E9</f>
        <v/>
      </c>
    </row>
    <row r="11"/>
    <row r="12"/>
    <row r="13">
      <c r="B13" s="11" t="inlineStr">
        <is>
          <t>MANDATORY COMPLIANCE TRAINING STATUS</t>
        </is>
      </c>
    </row>
    <row r="14">
      <c r="B14" s="12" t="inlineStr">
        <is>
          <t>Training Module</t>
        </is>
      </c>
      <c r="C14" s="12" t="inlineStr">
        <is>
          <t>Frequency</t>
        </is>
      </c>
      <c r="D14" s="12" t="inlineStr">
        <is>
          <t>Assigned</t>
        </is>
      </c>
      <c r="E14" s="12" t="inlineStr">
        <is>
          <t>Completed</t>
        </is>
      </c>
      <c r="F14" s="12" t="inlineStr">
        <is>
          <t>Overdue Count</t>
        </is>
      </c>
      <c r="G14" s="12" t="inlineStr">
        <is>
          <t>Completion %</t>
        </is>
      </c>
    </row>
    <row r="15">
      <c r="B15" s="13" t="inlineStr">
        <is>
          <t>POSH (Prevention of Sexual Harassment)</t>
        </is>
      </c>
      <c r="C15" s="13" t="inlineStr">
        <is>
          <t>Annual</t>
        </is>
      </c>
      <c r="D15" s="14" t="n">
        <v>1500</v>
      </c>
      <c r="E15" s="14" t="n">
        <v>1280</v>
      </c>
      <c r="F15" s="14" t="n">
        <v>220</v>
      </c>
      <c r="G15" s="15" t="n">
        <v>0.8532999999999999</v>
      </c>
    </row>
    <row r="16">
      <c r="B16" s="13" t="inlineStr">
        <is>
          <t>Code of Conduct (CoC)</t>
        </is>
      </c>
      <c r="C16" s="13" t="inlineStr">
        <is>
          <t>Annual</t>
        </is>
      </c>
      <c r="D16" s="14" t="n">
        <v>1500</v>
      </c>
      <c r="E16" s="14" t="n">
        <v>1345</v>
      </c>
      <c r="F16" s="14" t="n">
        <v>155</v>
      </c>
      <c r="G16" s="15" t="n">
        <v>0.8967000000000001</v>
      </c>
    </row>
    <row r="17">
      <c r="B17" s="13" t="inlineStr">
        <is>
          <t>DPDP (Data Protection Act)</t>
        </is>
      </c>
      <c r="C17" s="13" t="inlineStr">
        <is>
          <t>Annual</t>
        </is>
      </c>
      <c r="D17" s="14" t="n">
        <v>1500</v>
      </c>
      <c r="E17" s="14" t="n">
        <v>1190</v>
      </c>
      <c r="F17" s="14" t="n">
        <v>310</v>
      </c>
      <c r="G17" s="15" t="n">
        <v>0.7933</v>
      </c>
    </row>
    <row r="18">
      <c r="B18" s="13" t="inlineStr">
        <is>
          <t>InfoSec Awareness</t>
        </is>
      </c>
      <c r="C18" s="13" t="inlineStr">
        <is>
          <t>Bi-Annual</t>
        </is>
      </c>
      <c r="D18" s="14" t="n">
        <v>1500</v>
      </c>
      <c r="E18" s="14" t="n">
        <v>1150</v>
      </c>
      <c r="F18" s="14" t="n">
        <v>350</v>
      </c>
      <c r="G18" s="15" t="n">
        <v>0.7667</v>
      </c>
    </row>
    <row r="19">
      <c r="B19" s="13" t="inlineStr">
        <is>
          <t>Anti-Bribery &amp; Corruption</t>
        </is>
      </c>
      <c r="C19" s="13" t="inlineStr">
        <is>
          <t>Annual</t>
        </is>
      </c>
      <c r="D19" s="14" t="n">
        <v>1422</v>
      </c>
      <c r="E19" s="14" t="n">
        <v>1284</v>
      </c>
      <c r="F19" s="14" t="n">
        <v>138</v>
      </c>
      <c r="G19" s="15" t="n">
        <v>0.903</v>
      </c>
    </row>
  </sheetData>
  <mergeCells count="3">
    <mergeCell ref="B5:G5"/>
    <mergeCell ref="B2:G3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2026-10-24T18:08:52Z</dcterms:created>
  <dcterms:modified xmlns:dcterms="http://purl.org/dc/terms/" xmlns:xsi="http://www.w3.org/2001/XMLSchema-instance" xsi:type="dcterms:W3CDTF">2026-10-24T18:08:52Z</dcterms:modified>
</cp:coreProperties>
</file>